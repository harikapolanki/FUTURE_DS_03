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6393d7c741604f/Documents/"/>
    </mc:Choice>
  </mc:AlternateContent>
  <xr:revisionPtr revIDLastSave="80" documentId="8_{B672159F-AB2C-4ED8-AE87-47CE196FC6C8}" xr6:coauthVersionLast="47" xr6:coauthVersionMax="47" xr10:uidLastSave="{5D37F1B1-38CB-487B-9564-E0E61BE61305}"/>
  <bookViews>
    <workbookView xWindow="-108" yWindow="-108" windowWidth="23256" windowHeight="13896" activeTab="1" xr2:uid="{1FC2D119-416A-4348-9206-67FAD55F79ED}"/>
  </bookViews>
  <sheets>
    <sheet name="Sheet1" sheetId="1" r:id="rId1"/>
    <sheet name="Dashboard" sheetId="2" r:id="rId2"/>
  </sheets>
  <definedNames>
    <definedName name="_xlchart.v2.0" hidden="1">Sheet1!$L$2:$L$4</definedName>
    <definedName name="_xlchart.v2.1" hidden="1">Sheet1!$M$1</definedName>
    <definedName name="_xlchart.v2.2" hidden="1">Sheet1!$M$2:$M$4</definedName>
    <definedName name="_xlchart.v2.3" hidden="1">Sheet1!$L$2:$L$4</definedName>
    <definedName name="_xlchart.v2.4" hidden="1">Sheet1!$M$1</definedName>
    <definedName name="_xlchart.v2.5" hidden="1">Sheet1!$M$2:$M$4</definedName>
    <definedName name="_xlchart.v2.6" hidden="1">Sheet1!$L$2:$L$4</definedName>
    <definedName name="_xlchart.v2.7" hidden="1">Sheet1!$M$1</definedName>
    <definedName name="_xlchart.v2.8" hidden="1">Sheet1!$M$2:$M$4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<sst xmlns="http://schemas.openxmlformats.org/spreadsheetml/2006/main" count="18" uniqueCount="15">
  <si>
    <t>Channel</t>
  </si>
  <si>
    <t>Visitors</t>
  </si>
  <si>
    <t>Leads</t>
  </si>
  <si>
    <t>Customers</t>
  </si>
  <si>
    <t>Instagram</t>
  </si>
  <si>
    <t>Facebook</t>
  </si>
  <si>
    <t>Google Ads</t>
  </si>
  <si>
    <t>LinkedIn</t>
  </si>
  <si>
    <t>Email</t>
  </si>
  <si>
    <t>Visitor_to_lead_%</t>
  </si>
  <si>
    <t>Lead_to_customer_%</t>
  </si>
  <si>
    <t>Visitor_dropoff</t>
  </si>
  <si>
    <t>lead_dropoff</t>
  </si>
  <si>
    <t>Stage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</si>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</sst>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</a:t>
            </a:r>
            <a:r>
              <a:rPr lang="en-IN" baseline="0"/>
              <a:t> Funnel Performance By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3000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9-469C-9BA7-FA817A42033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500</c:v>
                </c:pt>
                <c:pt idx="1">
                  <c:v>320</c:v>
                </c:pt>
                <c:pt idx="2">
                  <c:v>900</c:v>
                </c:pt>
                <c:pt idx="3">
                  <c:v>450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9-469C-9BA7-FA817A42033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100</c:v>
                </c:pt>
                <c:pt idx="1">
                  <c:v>64</c:v>
                </c:pt>
                <c:pt idx="2">
                  <c:v>180</c:v>
                </c:pt>
                <c:pt idx="3">
                  <c:v>135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E9-469C-9BA7-FA817A420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578543"/>
        <c:axId val="1883582863"/>
      </c:barChart>
      <c:catAx>
        <c:axId val="18835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82863"/>
        <c:crosses val="autoZero"/>
        <c:auto val="1"/>
        <c:lblAlgn val="ctr"/>
        <c:lblOffset val="100"/>
        <c:noMultiLvlLbl val="0"/>
      </c:catAx>
      <c:valAx>
        <c:axId val="188358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7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Visitor</a:t>
            </a:r>
            <a:r>
              <a:rPr lang="en-IN" baseline="0"/>
              <a:t> to Lead Conversion Rate 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2-4C75-B92E-C46AD2DB4E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2-4C75-B92E-C46AD2DB4EA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Sheet1!$A$2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2-4C75-B92E-C46AD2DB4EA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Sheet1!$A$3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12-4C75-B92E-C46AD2DB4EA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12-4C75-B92E-C46AD2DB4EA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12-4C75-B92E-C46AD2DB4EA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12-4C75-B92E-C46AD2DB4EA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12-4C75-B92E-C46AD2DB4EA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12-4C75-B92E-C46AD2DB4EA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12-4C75-B92E-C46AD2DB4EA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12-4C75-B92E-C46AD2DB4EA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12-4C75-B92E-C46AD2DB4EA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Sheet1!$E$6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12-4C75-B92E-C46AD2DB4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321983"/>
        <c:axId val="1929322463"/>
      </c:barChart>
      <c:catAx>
        <c:axId val="192932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22463"/>
        <c:crosses val="autoZero"/>
        <c:auto val="1"/>
        <c:lblAlgn val="ctr"/>
        <c:lblOffset val="100"/>
        <c:noMultiLvlLbl val="0"/>
      </c:catAx>
      <c:valAx>
        <c:axId val="19293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2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</a:t>
            </a:r>
            <a:r>
              <a:rPr lang="en-US" baseline="0"/>
              <a:t> </a:t>
            </a:r>
            <a:r>
              <a:rPr lang="en-US"/>
              <a:t>to</a:t>
            </a:r>
            <a:r>
              <a:rPr lang="en-US" baseline="0"/>
              <a:t> </a:t>
            </a:r>
            <a:r>
              <a:rPr lang="en-US"/>
              <a:t>customer conversion rate(%)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0.17171296296296298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Lead_to_customer_%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2-47C7-9C32-438708CC5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345327"/>
        <c:axId val="1887344847"/>
      </c:barChart>
      <c:catAx>
        <c:axId val="18873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44847"/>
        <c:crosses val="autoZero"/>
        <c:auto val="1"/>
        <c:lblAlgn val="ctr"/>
        <c:lblOffset val="100"/>
        <c:noMultiLvlLbl val="0"/>
      </c:catAx>
      <c:valAx>
        <c:axId val="188734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4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</a:t>
            </a:r>
            <a:r>
              <a:rPr lang="en-IN" baseline="0"/>
              <a:t> Funnel Performance By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3000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D-4DA2-A042-3FAB52367E7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500</c:v>
                </c:pt>
                <c:pt idx="1">
                  <c:v>320</c:v>
                </c:pt>
                <c:pt idx="2">
                  <c:v>900</c:v>
                </c:pt>
                <c:pt idx="3">
                  <c:v>450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8D-4DA2-A042-3FAB52367E7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100</c:v>
                </c:pt>
                <c:pt idx="1">
                  <c:v>64</c:v>
                </c:pt>
                <c:pt idx="2">
                  <c:v>180</c:v>
                </c:pt>
                <c:pt idx="3">
                  <c:v>135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8D-4DA2-A042-3FAB5236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578543"/>
        <c:axId val="1883582863"/>
      </c:barChart>
      <c:catAx>
        <c:axId val="18835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82863"/>
        <c:crosses val="autoZero"/>
        <c:auto val="1"/>
        <c:lblAlgn val="ctr"/>
        <c:lblOffset val="100"/>
        <c:noMultiLvlLbl val="0"/>
      </c:catAx>
      <c:valAx>
        <c:axId val="188358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7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Visitor</a:t>
            </a:r>
            <a:r>
              <a:rPr lang="en-IN" baseline="0"/>
              <a:t> to Lead Conversion Rate 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7-40B2-9452-B2041FA261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7-40B2-9452-B2041FA261A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Sheet1!$A$2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7-40B2-9452-B2041FA261A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Sheet1!$A$3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37-40B2-9452-B2041FA261A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37-40B2-9452-B2041FA261A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37-40B2-9452-B2041FA261A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37-40B2-9452-B2041FA261A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37-40B2-9452-B2041FA261A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37-40B2-9452-B2041FA261A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37-40B2-9452-B2041FA261A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37-40B2-9452-B2041FA261A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37-40B2-9452-B2041FA261A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Sheet1!$E$6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37-40B2-9452-B2041FA2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321983"/>
        <c:axId val="1929322463"/>
      </c:barChart>
      <c:catAx>
        <c:axId val="192932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22463"/>
        <c:crosses val="autoZero"/>
        <c:auto val="1"/>
        <c:lblAlgn val="ctr"/>
        <c:lblOffset val="100"/>
        <c:noMultiLvlLbl val="0"/>
      </c:catAx>
      <c:valAx>
        <c:axId val="19293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2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</a:t>
            </a:r>
            <a:r>
              <a:rPr lang="en-US" baseline="0"/>
              <a:t> </a:t>
            </a:r>
            <a:r>
              <a:rPr lang="en-US"/>
              <a:t>to</a:t>
            </a:r>
            <a:r>
              <a:rPr lang="en-US" baseline="0"/>
              <a:t> </a:t>
            </a:r>
            <a:r>
              <a:rPr lang="en-US"/>
              <a:t>customer conversion rate(%)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0.17171296296296298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Lead_to_customer_%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LinkedIn</c:v>
                </c:pt>
                <c:pt idx="4">
                  <c:v>Email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D-473A-A0F3-435F9758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345327"/>
        <c:axId val="1887344847"/>
      </c:barChart>
      <c:catAx>
        <c:axId val="18873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44847"/>
        <c:crosses val="autoZero"/>
        <c:auto val="1"/>
        <c:lblAlgn val="ctr"/>
        <c:lblOffset val="100"/>
        <c:noMultiLvlLbl val="0"/>
      </c:catAx>
      <c:valAx>
        <c:axId val="188734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4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Overall Marketing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Overall Marketing Funnel</a:t>
          </a:r>
        </a:p>
      </cx:txPr>
    </cx:title>
    <cx:plotArea>
      <cx:plotAreaRegion>
        <cx:series layoutId="funnel" uniqueId="{90E15E31-E87A-4BF2-A51D-CA1FA315D996}">
          <cx:tx>
            <cx:txData>
              <cx:f>_xlchart.v2.1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Overall Marketing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Overall Marketing Funnel</a:t>
          </a:r>
        </a:p>
      </cx:txPr>
    </cx:title>
    <cx:plotArea>
      <cx:plotAreaRegion>
        <cx:series layoutId="funnel" uniqueId="{90E15E31-E87A-4BF2-A51D-CA1FA315D996}">
          <cx:tx>
            <cx:txData>
              <cx:f>_xlchart.v2.7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144780</xdr:rowOff>
    </xdr:from>
    <xdr:to>
      <xdr:col>5</xdr:col>
      <xdr:colOff>1143000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435163-B8F7-110F-4BE3-C32ACB943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1188720</xdr:colOff>
      <xdr:row>8</xdr:row>
      <xdr:rowOff>133350</xdr:rowOff>
    </xdr:from>
    <xdr:to>
      <xdr:col>11</xdr:col>
      <xdr:colOff>525780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3AB700-BDB6-5211-8D2B-680FD81F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147850</xdr:colOff>
      <xdr:row>8</xdr:row>
      <xdr:rowOff>170598</xdr:rowOff>
    </xdr:from>
    <xdr:to>
      <xdr:col>20</xdr:col>
      <xdr:colOff>329822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F0CC7-1B16-0D2C-D36B-FF98F8F1C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341194</xdr:colOff>
      <xdr:row>25</xdr:row>
      <xdr:rowOff>79612</xdr:rowOff>
    </xdr:from>
    <xdr:to>
      <xdr:col>16</xdr:col>
      <xdr:colOff>68238</xdr:colOff>
      <xdr:row>44</xdr:row>
      <xdr:rowOff>102357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73AF80A-F7FE-330D-4DD0-63CD35E1B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3254" y="4628866"/>
              <a:ext cx="5390865" cy="34801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121920</xdr:rowOff>
    </xdr:from>
    <xdr:to>
      <xdr:col>5</xdr:col>
      <xdr:colOff>327661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6F2C3-A9EE-4D3C-9CC5-25DA70A58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396241</xdr:colOff>
      <xdr:row>1</xdr:row>
      <xdr:rowOff>144780</xdr:rowOff>
    </xdr:from>
    <xdr:to>
      <xdr:col>11</xdr:col>
      <xdr:colOff>220981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F3776-5DCF-4915-A581-4E2C9C635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381000</xdr:colOff>
      <xdr:row>1</xdr:row>
      <xdr:rowOff>144781</xdr:rowOff>
    </xdr:from>
    <xdr:to>
      <xdr:col>16</xdr:col>
      <xdr:colOff>556260</xdr:colOff>
      <xdr:row>13</xdr:row>
      <xdr:rowOff>152401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C796A-D0F0-49CF-A399-062518D62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373380</xdr:colOff>
      <xdr:row>15</xdr:row>
      <xdr:rowOff>91440</xdr:rowOff>
    </xdr:from>
    <xdr:to>
      <xdr:col>6</xdr:col>
      <xdr:colOff>502920</xdr:colOff>
      <xdr:row>29</xdr:row>
      <xdr:rowOff>175260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308D051-5462-4DF9-A304-46B4322B9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" y="2834640"/>
              <a:ext cx="3787140" cy="2644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601980</xdr:colOff>
      <xdr:row>15</xdr:row>
      <xdr:rowOff>106680</xdr:rowOff>
    </xdr:from>
    <xdr:to>
      <xdr:col>16</xdr:col>
      <xdr:colOff>30480</xdr:colOff>
      <xdr:row>30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8549F9-4DBF-7508-7E60-A2A5750A804B}"/>
            </a:ext>
          </a:extLst>
        </xdr:cNvPr>
        <xdr:cNvSpPr txBox="1"/>
      </xdr:nvSpPr>
      <xdr:spPr>
        <a:xfrm>
          <a:off x="4259580" y="2849880"/>
          <a:ext cx="5524500" cy="2651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>
              <a:latin typeface="Arial" panose="020B0604020202020204" pitchFamily="34" charset="0"/>
              <a:cs typeface="Arial" panose="020B0604020202020204" pitchFamily="34" charset="0"/>
            </a:rPr>
            <a:t>Insights</a:t>
          </a:r>
        </a:p>
        <a:p>
          <a:pPr algn="l"/>
          <a:r>
            <a:rPr lang="en-IN" sz="1600"/>
            <a:t>Google Ads, LinkedIn and Email have the highest Visitor-to-Lead conversion (15%).</a:t>
          </a:r>
        </a:p>
        <a:p>
          <a:pPr algn="l"/>
          <a:r>
            <a:rPr lang="en-IN" sz="1600"/>
            <a:t>LinkedIn and Email have the highest Lead-to-Customer conversion (30%).</a:t>
          </a:r>
        </a:p>
        <a:p>
          <a:pPr algn="l"/>
          <a:r>
            <a:rPr lang="en-IN" sz="1600"/>
            <a:t>Facebook has the weakest Visitor-to-Lead conversion (8%).</a:t>
          </a:r>
        </a:p>
        <a:p>
          <a:pPr algn="l"/>
          <a:r>
            <a:rPr lang="en-IN" sz="1600"/>
            <a:t>Most users drop off before becoming leads.</a:t>
          </a:r>
        </a:p>
        <a:p>
          <a:pPr algn="l"/>
          <a:r>
            <a:rPr lang="en-IN" sz="1600"/>
            <a:t>Improving lead generation can significantly increase customers.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BDFD-3FC2-44AF-B462-595B7AC9DACC}">
  <dimension ref="A1:M6"/>
  <sheetViews>
    <sheetView topLeftCell="A13" zoomScale="67" workbookViewId="0">
      <selection activeCell="F33" sqref="F33"/>
    </sheetView>
  </sheetViews>
  <sheetFormatPr defaultRowHeight="14.4" x14ac:dyDescent="0.3"/>
  <cols>
    <col min="1" max="1" width="10" bestFit="1" customWidth="1"/>
    <col min="4" max="4" width="9.77734375" bestFit="1" customWidth="1"/>
    <col min="5" max="5" width="15.109375" bestFit="1" customWidth="1"/>
    <col min="6" max="6" width="18.21875" bestFit="1" customWidth="1"/>
    <col min="7" max="7" width="12.6640625" bestFit="1" customWidth="1"/>
    <col min="8" max="8" width="1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11</v>
      </c>
      <c r="H1" t="s">
        <v>12</v>
      </c>
      <c r="L1" t="s">
        <v>13</v>
      </c>
      <c r="M1" t="s">
        <v>14</v>
      </c>
    </row>
    <row r="2" spans="1:13" x14ac:dyDescent="0.3">
      <c r="A2" t="s">
        <v>4</v>
      </c>
      <c r="B2">
        <v>5000</v>
      </c>
      <c r="C2">
        <v>500</v>
      </c>
      <c r="D2">
        <v>100</v>
      </c>
      <c r="E2">
        <f>(C2/B2)*100</f>
        <v>10</v>
      </c>
      <c r="F2">
        <f>(D2/C2)*100</f>
        <v>20</v>
      </c>
      <c r="G2">
        <f>B2-C2</f>
        <v>4500</v>
      </c>
      <c r="H2">
        <f>C2-D2</f>
        <v>400</v>
      </c>
      <c r="L2" t="s">
        <v>1</v>
      </c>
      <c r="M2">
        <v>20000</v>
      </c>
    </row>
    <row r="3" spans="1:13" x14ac:dyDescent="0.3">
      <c r="A3" t="s">
        <v>5</v>
      </c>
      <c r="B3">
        <v>4000</v>
      </c>
      <c r="C3">
        <v>320</v>
      </c>
      <c r="D3">
        <v>64</v>
      </c>
      <c r="E3">
        <f t="shared" ref="E3:E6" si="0">(C3/B3)*100</f>
        <v>8</v>
      </c>
      <c r="F3">
        <f t="shared" ref="F3:F6" si="1">(D3/C3)*100</f>
        <v>20</v>
      </c>
      <c r="G3">
        <f t="shared" ref="G3:G6" si="2">B3-C3</f>
        <v>3680</v>
      </c>
      <c r="H3">
        <f t="shared" ref="H3:H6" si="3">C3-D3</f>
        <v>256</v>
      </c>
      <c r="L3" t="s">
        <v>2</v>
      </c>
      <c r="M3">
        <v>2470</v>
      </c>
    </row>
    <row r="4" spans="1:13" x14ac:dyDescent="0.3">
      <c r="A4" t="s">
        <v>6</v>
      </c>
      <c r="B4">
        <v>6000</v>
      </c>
      <c r="C4">
        <v>900</v>
      </c>
      <c r="D4">
        <v>180</v>
      </c>
      <c r="E4">
        <f t="shared" si="0"/>
        <v>15</v>
      </c>
      <c r="F4">
        <f t="shared" si="1"/>
        <v>20</v>
      </c>
      <c r="G4">
        <f t="shared" si="2"/>
        <v>5100</v>
      </c>
      <c r="H4">
        <f t="shared" si="3"/>
        <v>720</v>
      </c>
      <c r="L4" t="s">
        <v>3</v>
      </c>
      <c r="M4">
        <v>569</v>
      </c>
    </row>
    <row r="5" spans="1:13" x14ac:dyDescent="0.3">
      <c r="A5" t="s">
        <v>7</v>
      </c>
      <c r="B5">
        <v>3000</v>
      </c>
      <c r="C5">
        <v>450</v>
      </c>
      <c r="D5">
        <v>135</v>
      </c>
      <c r="E5">
        <f t="shared" si="0"/>
        <v>15</v>
      </c>
      <c r="F5">
        <f t="shared" si="1"/>
        <v>30</v>
      </c>
      <c r="G5">
        <f t="shared" si="2"/>
        <v>2550</v>
      </c>
      <c r="H5">
        <f t="shared" si="3"/>
        <v>315</v>
      </c>
    </row>
    <row r="6" spans="1:13" x14ac:dyDescent="0.3">
      <c r="A6" t="s">
        <v>8</v>
      </c>
      <c r="B6">
        <v>2000</v>
      </c>
      <c r="C6">
        <v>300</v>
      </c>
      <c r="D6">
        <v>90</v>
      </c>
      <c r="E6">
        <f t="shared" si="0"/>
        <v>15</v>
      </c>
      <c r="F6">
        <f t="shared" si="1"/>
        <v>30</v>
      </c>
      <c r="G6">
        <f t="shared" si="2"/>
        <v>1700</v>
      </c>
      <c r="H6">
        <f t="shared" si="3"/>
        <v>210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0034-89E1-49F1-A97B-E8F28F06CE0E}">
  <dimension ref="A1"/>
  <sheetViews>
    <sheetView tabSelected="1" topLeftCell="A2" workbookViewId="0">
      <selection activeCell="Q33" sqref="Q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Polanki</dc:creator>
  <cp:lastModifiedBy>Harika Polanki</cp:lastModifiedBy>
  <dcterms:created xsi:type="dcterms:W3CDTF">2026-05-29T03:48:39Z</dcterms:created>
  <dcterms:modified xsi:type="dcterms:W3CDTF">2026-05-29T12:17:35Z</dcterms:modified>
</cp:coreProperties>
</file>